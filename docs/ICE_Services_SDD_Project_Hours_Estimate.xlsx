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kertilly-my.sharepoint.com/personal/KC_Fike_bakertilly_com/Documents/Analytics/Clients/ICE/"/>
    </mc:Choice>
  </mc:AlternateContent>
  <xr:revisionPtr revIDLastSave="93" documentId="8_{12A38520-13D3-4971-A5ED-68F5E0910298}" xr6:coauthVersionLast="47" xr6:coauthVersionMax="47" xr10:uidLastSave="{8979BDCD-090E-4E56-A733-550F7936AA47}"/>
  <bookViews>
    <workbookView xWindow="-108" yWindow="-108" windowWidth="23256" windowHeight="13896" xr2:uid="{00000000-000D-0000-FFFF-FFFF00000000}"/>
  </bookViews>
  <sheets>
    <sheet name="R1 AI-first estim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B6" i="2" s="1"/>
  <c r="B7" i="2" s="1"/>
  <c r="D20" i="2"/>
  <c r="D19" i="2"/>
  <c r="C6" i="2" s="1"/>
  <c r="C7" i="2" s="1"/>
  <c r="L46" i="2"/>
  <c r="K46" i="2"/>
  <c r="H46" i="2"/>
  <c r="G46" i="2"/>
  <c r="F46" i="2"/>
  <c r="E46" i="2"/>
  <c r="D46" i="2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C26" i="2" l="1"/>
  <c r="D26" i="2"/>
  <c r="I46" i="2"/>
  <c r="J30" i="2"/>
  <c r="J46" i="2" s="1"/>
</calcChain>
</file>

<file path=xl/sharedStrings.xml><?xml version="1.0" encoding="utf-8"?>
<sst xmlns="http://schemas.openxmlformats.org/spreadsheetml/2006/main" count="110" uniqueCount="107">
  <si>
    <t>ICE Services Project Lifecycle Platform</t>
  </si>
  <si>
    <t>Metric</t>
  </si>
  <si>
    <t>Low</t>
  </si>
  <si>
    <t>High</t>
  </si>
  <si>
    <t>Human delivery effort (hours)</t>
  </si>
  <si>
    <t>Equivalent person-months</t>
  </si>
  <si>
    <t>Planning calendar (weeks)</t>
  </si>
  <si>
    <t>Category</t>
  </si>
  <si>
    <t>Included work</t>
  </si>
  <si>
    <t>Hours</t>
  </si>
  <si>
    <t>BMAD product and requirements package</t>
  </si>
  <si>
    <t>Source synthesis, PRD, roles, scope, traceability and release framing</t>
  </si>
  <si>
    <t>UX workflow and screen specification</t>
  </si>
  <si>
    <t>Journeys, states, screen inventory and acceptance flows</t>
  </si>
  <si>
    <t>Architecture and decision review</t>
  </si>
  <si>
    <t>Application, identity, documents, persistence and integration patterns</t>
  </si>
  <si>
    <t>API spikes and technical validation</t>
  </si>
  <si>
    <t>T-Sheets, Procurement, HR, AR and document repository validation</t>
  </si>
  <si>
    <t>Spec Kit feature preparation</t>
  </si>
  <si>
    <t>Specification, clarify, plan, tasks and readiness review for R1 features</t>
  </si>
  <si>
    <t>Feature setup, exceptions, review, acceptance and checkpoints</t>
  </si>
  <si>
    <t>External integration validation</t>
  </si>
  <si>
    <t>Real-system credentials, mappings, API behavior and troubleshooting</t>
  </si>
  <si>
    <t>System-wide automated test review</t>
  </si>
  <si>
    <t>Cross-feature integration, regression and performance validation</t>
  </si>
  <si>
    <t>UAT preparation and support</t>
  </si>
  <si>
    <t>Scenarios, user support, defect triage and accepted corrections</t>
  </si>
  <si>
    <t>Migration validation and cutover</t>
  </si>
  <si>
    <t>Legacy profiling, mapping, rehearsal, reconciliation and production load</t>
  </si>
  <si>
    <t>Training and production support</t>
  </si>
  <si>
    <t>Guides, training, release support and initial hypercare</t>
  </si>
  <si>
    <t>Project coordination</t>
  </si>
  <si>
    <t>Planning, decisions, status, demonstrations and release coordination</t>
  </si>
  <si>
    <t>TOTAL HUMAN EFFORT</t>
  </si>
  <si>
    <t>R1 implementation detail</t>
  </si>
  <si>
    <t>ID</t>
  </si>
  <si>
    <t>Capability</t>
  </si>
  <si>
    <t>Source requirements</t>
  </si>
  <si>
    <t>Setup</t>
  </si>
  <si>
    <t>Review and acceptance</t>
  </si>
  <si>
    <t>Merge / checkpoint</t>
  </si>
  <si>
    <t>External-system work</t>
  </si>
  <si>
    <t>Total human hours</t>
  </si>
  <si>
    <t>Agent runtime low</t>
  </si>
  <si>
    <t>Agent runtime high</t>
  </si>
  <si>
    <t>S01</t>
  </si>
  <si>
    <t>Platform foundation and CI/CD</t>
  </si>
  <si>
    <t>PP-045, PP-056, PP-057</t>
  </si>
  <si>
    <t>S02</t>
  </si>
  <si>
    <t>Identity and access</t>
  </si>
  <si>
    <t>PP-041, PP-049–052, PP-070</t>
  </si>
  <si>
    <t>S03</t>
  </si>
  <si>
    <t>Master data and configuration</t>
  </si>
  <si>
    <t>PP-033–037, PP-053</t>
  </si>
  <si>
    <t>S04</t>
  </si>
  <si>
    <t>SOW core setup</t>
  </si>
  <si>
    <t>PP-001–005, PP-009</t>
  </si>
  <si>
    <t>S05</t>
  </si>
  <si>
    <t>Document management</t>
  </si>
  <si>
    <t>PP-006, PP-046</t>
  </si>
  <si>
    <t>S06</t>
  </si>
  <si>
    <t>SOW lifecycle and audit</t>
  </si>
  <si>
    <t>PP-007–008, PP-017, PP-022, PP-042</t>
  </si>
  <si>
    <t>S07</t>
  </si>
  <si>
    <t>T-Sheets provisioning</t>
  </si>
  <si>
    <t>PP-010–013, PP-016, PP-039, PP-047</t>
  </si>
  <si>
    <t>S08</t>
  </si>
  <si>
    <t>Labor retrieval and basic OT</t>
  </si>
  <si>
    <t>PP-014, R1 portion of PP-015</t>
  </si>
  <si>
    <t>S09</t>
  </si>
  <si>
    <t>Procurement and project costs</t>
  </si>
  <si>
    <t>PP-024, PP-038</t>
  </si>
  <si>
    <t>S10</t>
  </si>
  <si>
    <t>Project financial tracking</t>
  </si>
  <si>
    <t>PP-018–019</t>
  </si>
  <si>
    <t>S11</t>
  </si>
  <si>
    <t>Billing packet assembly</t>
  </si>
  <si>
    <t>PP-023–024, PP-028</t>
  </si>
  <si>
    <t>S12</t>
  </si>
  <si>
    <t>Closeout and reconciliation</t>
  </si>
  <si>
    <t>PP-026, PP-030, PP-068–069</t>
  </si>
  <si>
    <t>S13</t>
  </si>
  <si>
    <t>AR handoff and billing tracking</t>
  </si>
  <si>
    <t>PP-029, PP-031, PP-040</t>
  </si>
  <si>
    <t>S15</t>
  </si>
  <si>
    <t>Data migration and cutover</t>
  </si>
  <si>
    <t>PP-044</t>
  </si>
  <si>
    <t>X01</t>
  </si>
  <si>
    <t>Release and production readiness</t>
  </si>
  <si>
    <t>Cross-cutting R1 release work</t>
  </si>
  <si>
    <t>AGT</t>
  </si>
  <si>
    <t>Cross-feature agent regression and refactoring</t>
  </si>
  <si>
    <t>Agent-only runtime allowance</t>
  </si>
  <si>
    <t>TOTAL</t>
  </si>
  <si>
    <t>Estimate assumptions</t>
  </si>
  <si>
    <t>R1 includes basic overtime behavior needed for billing. Advanced configurable overtime, progress billing, equipment integration and accrual reporting remain later releases.</t>
  </si>
  <si>
    <t>Client employee time spent performing UAT is excluded. Delivery-team UAT preparation, support and accepted corrections are included.</t>
  </si>
  <si>
    <t>All yellow estimate cells are editable. Formula totals update automatically.</t>
  </si>
  <si>
    <t>Claude Code oversight</t>
  </si>
  <si>
    <t>R1 effort by category</t>
  </si>
  <si>
    <t>Human oversight</t>
  </si>
  <si>
    <t>Exceptions</t>
  </si>
  <si>
    <t>AI-first R1 project estimate using BMAD, Spec Kit and Claude Code</t>
  </si>
  <si>
    <t>The working estimate is 492 human hours. The range reflects API behavior, source-data quality, client decision speed and UAT findings.</t>
  </si>
  <si>
    <t>The calendar plan assumes overlapping workstreams.</t>
  </si>
  <si>
    <t>Human hours exclude unattended Claude Code runtime. Machine runtime is tracked separately and does not convert directly into labor hours.</t>
  </si>
  <si>
    <t>Claude Code is assumed to implement, test, correct, document and checkpoint each implementation-ready feature with limited intervention.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</si>
</sst>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sz val="10"/>
      <color rgb="FF213246"/>
      <name val="Arial"/>
    </font>
    <font>
      <b/>
      <sz val="10"/>
      <color rgb="FF17324D"/>
      <name val="Arial"/>
    </font>
    <font>
      <b/>
      <sz val="12"/>
      <color rgb="FF17324D"/>
      <name val="Arial"/>
    </font>
    <font>
      <sz val="9"/>
      <color rgb="FF66778A"/>
      <name val="Arial"/>
    </font>
    <font>
      <sz val="14"/>
      <color rgb="FF213246"/>
      <name val="Arial"/>
      <family val="2"/>
    </font>
    <font>
      <b/>
      <sz val="14"/>
      <color rgb="FF17324D"/>
      <name val="Arial"/>
      <family val="2"/>
    </font>
    <font>
      <sz val="9"/>
      <color rgb="FF66778A"/>
      <name val="Arial"/>
      <family val="2"/>
    </font>
    <font>
      <b/>
      <sz val="14"/>
      <color rgb="FFFFFFFF"/>
      <name val="Arial"/>
      <family val="2"/>
    </font>
    <font>
      <sz val="14"/>
      <name val="Carlito"/>
    </font>
    <font>
      <b/>
      <sz val="16"/>
      <color rgb="FF17324D"/>
      <name val="Arial"/>
      <family val="2"/>
    </font>
    <font>
      <sz val="16"/>
      <color rgb="FF213246"/>
      <name val="Arial"/>
      <family val="2"/>
    </font>
    <font>
      <sz val="16"/>
      <name val="Carlito"/>
    </font>
    <font>
      <i/>
      <sz val="12"/>
      <color rgb="FF66778A"/>
      <name val="Arial"/>
      <family val="2"/>
    </font>
    <font>
      <sz val="10"/>
      <color rgb="FF21324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315F7D"/>
      </patternFill>
    </fill>
    <fill>
      <patternFill patternType="solid">
        <fgColor rgb="FFFFF0C7"/>
      </patternFill>
    </fill>
    <fill>
      <patternFill patternType="solid">
        <fgColor rgb="FFE4F2E8"/>
      </patternFill>
    </fill>
    <fill>
      <patternFill patternType="solid">
        <fgColor rgb="FFF6F8FA"/>
      </patternFill>
    </fill>
    <fill>
      <patternFill patternType="solid">
        <fgColor rgb="FFFFF8E6"/>
      </patternFill>
    </fill>
    <fill>
      <patternFill patternType="solid">
        <fgColor rgb="FFEAF1F6"/>
      </patternFill>
    </fill>
    <fill>
      <patternFill patternType="solid">
        <fgColor rgb="FFEDF4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3" fontId="1" fillId="0" borderId="0" xfId="0" applyNumberFormat="1" applyFont="1" applyFill="1"/>
    <xf numFmtId="3" fontId="2" fillId="0" borderId="0" xfId="0" applyNumberFormat="1" applyFont="1" applyFill="1"/>
    <xf numFmtId="0" fontId="5" fillId="0" borderId="0" xfId="0" applyFont="1" applyAlignment="1">
      <alignment wrapText="1"/>
    </xf>
    <xf numFmtId="3" fontId="5" fillId="4" borderId="0" xfId="0" applyNumberFormat="1" applyFont="1" applyFill="1"/>
    <xf numFmtId="0" fontId="5" fillId="6" borderId="0" xfId="0" applyFont="1" applyFill="1" applyAlignment="1">
      <alignment wrapText="1"/>
    </xf>
    <xf numFmtId="3" fontId="5" fillId="6" borderId="0" xfId="0" applyNumberFormat="1" applyFont="1" applyFill="1"/>
    <xf numFmtId="0" fontId="6" fillId="0" borderId="0" xfId="0" applyFont="1"/>
    <xf numFmtId="3" fontId="6" fillId="5" borderId="0" xfId="0" applyNumberFormat="1" applyFont="1" applyFill="1"/>
    <xf numFmtId="0" fontId="5" fillId="0" borderId="0" xfId="0" applyFont="1"/>
    <xf numFmtId="164" fontId="5" fillId="7" borderId="0" xfId="0" applyNumberFormat="1" applyFont="1" applyFill="1"/>
    <xf numFmtId="164" fontId="5" fillId="8" borderId="0" xfId="0" applyNumberFormat="1" applyFont="1" applyFill="1"/>
    <xf numFmtId="1" fontId="5" fillId="9" borderId="0" xfId="0" applyNumberFormat="1" applyFont="1" applyFill="1"/>
    <xf numFmtId="0" fontId="5" fillId="6" borderId="0" xfId="0" applyFont="1" applyFill="1"/>
    <xf numFmtId="3" fontId="5" fillId="0" borderId="0" xfId="0" applyNumberFormat="1" applyFont="1"/>
    <xf numFmtId="164" fontId="5" fillId="0" borderId="0" xfId="0" applyNumberFormat="1" applyFont="1"/>
    <xf numFmtId="1" fontId="5" fillId="4" borderId="0" xfId="0" applyNumberFormat="1" applyFont="1" applyFill="1"/>
    <xf numFmtId="0" fontId="7" fillId="0" borderId="0" xfId="0" applyFont="1"/>
    <xf numFmtId="0" fontId="8" fillId="3" borderId="0" xfId="0" applyFont="1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/>
    <xf numFmtId="164" fontId="8" fillId="2" borderId="0" xfId="0" applyNumberFormat="1" applyFont="1" applyFill="1"/>
    <xf numFmtId="1" fontId="8" fillId="2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3" fontId="1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F4B2-96F1-43B2-92F1-8742D5D26F70}">
  <sheetPr>
    <tabColor rgb="FF17324D"/>
  </sheetPr>
  <dimension ref="A2:L56"/>
  <sheetViews>
    <sheetView showGridLines="0" tabSelected="1" topLeftCell="A30" zoomScale="60" zoomScaleNormal="60" workbookViewId="0">
      <selection activeCell="B51" sqref="B51"/>
    </sheetView>
  </sheetViews>
  <sheetFormatPr defaultRowHeight="13.8"/>
  <cols>
    <col min="1" max="1" width="70.796875" customWidth="1"/>
    <col min="2" max="2" width="82.796875" customWidth="1"/>
    <col min="3" max="3" width="47.59765625" customWidth="1"/>
    <col min="4" max="4" width="11" customWidth="1"/>
    <col min="5" max="5" width="14" customWidth="1"/>
    <col min="6" max="6" width="18" customWidth="1"/>
    <col min="7" max="7" width="34" customWidth="1"/>
    <col min="8" max="8" width="20" customWidth="1"/>
    <col min="9" max="9" width="19" customWidth="1"/>
    <col min="10" max="10" width="16" customWidth="1"/>
    <col min="11" max="12" width="15" customWidth="1"/>
  </cols>
  <sheetData>
    <row r="2" spans="1:12" s="29" customFormat="1" ht="21">
      <c r="A2" s="27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0.399999999999999">
      <c r="A3" s="30" t="s">
        <v>102</v>
      </c>
      <c r="B3" s="1"/>
      <c r="C3" s="1"/>
      <c r="D3" s="1"/>
      <c r="E3" s="1"/>
      <c r="F3" s="28"/>
      <c r="G3" s="28"/>
      <c r="H3" s="28"/>
      <c r="I3" s="28"/>
      <c r="J3" s="28"/>
      <c r="K3" s="1"/>
      <c r="L3" s="1"/>
    </row>
    <row r="4" spans="1:12" ht="20.399999999999999">
      <c r="A4" s="1"/>
      <c r="B4" s="1"/>
      <c r="C4" s="1"/>
      <c r="D4" s="1"/>
      <c r="E4" s="1"/>
      <c r="F4" s="28"/>
      <c r="G4" s="28"/>
      <c r="H4" s="28"/>
      <c r="I4" s="28"/>
      <c r="J4" s="28"/>
      <c r="K4" s="1"/>
      <c r="L4" s="1"/>
    </row>
    <row r="5" spans="1:12" s="26" customFormat="1" ht="20.399999999999999">
      <c r="A5" s="22" t="s">
        <v>1</v>
      </c>
      <c r="B5" s="22" t="s">
        <v>2</v>
      </c>
      <c r="C5" s="22" t="s">
        <v>3</v>
      </c>
      <c r="D5" s="12"/>
      <c r="E5" s="12"/>
      <c r="F5" s="28"/>
      <c r="G5" s="28"/>
      <c r="H5" s="28"/>
      <c r="I5" s="28"/>
      <c r="J5" s="28"/>
      <c r="K5" s="12"/>
      <c r="L5" s="12"/>
    </row>
    <row r="6" spans="1:12" ht="20.399999999999999">
      <c r="A6" s="12" t="s">
        <v>4</v>
      </c>
      <c r="B6" s="17">
        <f>SUM(C14:C25)</f>
        <v>502</v>
      </c>
      <c r="C6" s="17">
        <f>SUM(D14:D25)</f>
        <v>556</v>
      </c>
      <c r="D6" s="1"/>
      <c r="E6" s="1"/>
      <c r="F6" s="28"/>
      <c r="G6" s="28"/>
      <c r="H6" s="28"/>
      <c r="I6" s="28"/>
      <c r="J6" s="28"/>
      <c r="K6" s="1"/>
      <c r="L6" s="1"/>
    </row>
    <row r="7" spans="1:12" ht="20.399999999999999">
      <c r="A7" s="12" t="s">
        <v>5</v>
      </c>
      <c r="B7" s="18">
        <f>B6/160</f>
        <v>3.1375000000000002</v>
      </c>
      <c r="C7" s="18">
        <f>C6/160</f>
        <v>3.4750000000000001</v>
      </c>
      <c r="D7" s="1"/>
      <c r="E7" s="1"/>
      <c r="F7" s="28"/>
      <c r="G7" s="28"/>
      <c r="H7" s="28"/>
      <c r="I7" s="28"/>
      <c r="J7" s="28"/>
      <c r="K7" s="1"/>
      <c r="L7" s="1"/>
    </row>
    <row r="8" spans="1:12" ht="20.399999999999999">
      <c r="A8" s="12" t="s">
        <v>6</v>
      </c>
      <c r="B8" s="19">
        <v>10</v>
      </c>
      <c r="C8" s="19">
        <v>13</v>
      </c>
      <c r="D8" s="1"/>
      <c r="E8" s="1"/>
      <c r="F8" s="28"/>
      <c r="G8" s="28"/>
      <c r="H8" s="28"/>
      <c r="I8" s="28"/>
      <c r="J8" s="28"/>
      <c r="K8" s="1"/>
      <c r="L8" s="1"/>
    </row>
    <row r="9" spans="1:12" ht="20.399999999999999">
      <c r="A9" s="1"/>
      <c r="B9" s="1"/>
      <c r="C9" s="1"/>
      <c r="D9" s="1"/>
      <c r="E9" s="1"/>
      <c r="F9" s="28"/>
      <c r="G9" s="28"/>
      <c r="H9" s="28"/>
      <c r="I9" s="28"/>
      <c r="J9" s="28"/>
      <c r="K9" s="1"/>
      <c r="L9" s="1"/>
    </row>
    <row r="10" spans="1:12" ht="20.399999999999999">
      <c r="A10" s="1"/>
      <c r="B10" s="1"/>
      <c r="C10" s="1"/>
      <c r="D10" s="1"/>
      <c r="E10" s="1"/>
      <c r="F10" s="28"/>
      <c r="G10" s="28"/>
      <c r="H10" s="28"/>
      <c r="I10" s="28"/>
      <c r="J10" s="28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s="26" customFormat="1" ht="17.399999999999999">
      <c r="A12" s="21" t="s">
        <v>99</v>
      </c>
      <c r="B12" s="21"/>
      <c r="C12" s="32" t="s">
        <v>2</v>
      </c>
      <c r="D12" s="32" t="s">
        <v>3</v>
      </c>
      <c r="E12" s="33"/>
      <c r="F12" s="12"/>
      <c r="G12" s="12"/>
      <c r="H12" s="12"/>
      <c r="I12" s="12"/>
      <c r="J12" s="12"/>
      <c r="K12" s="12"/>
      <c r="L12" s="12"/>
    </row>
    <row r="13" spans="1:12" s="26" customFormat="1" ht="17.399999999999999">
      <c r="A13" s="22" t="s">
        <v>7</v>
      </c>
      <c r="B13" s="22" t="s">
        <v>8</v>
      </c>
      <c r="C13" s="22" t="s">
        <v>9</v>
      </c>
      <c r="D13" s="22" t="s">
        <v>9</v>
      </c>
      <c r="E13" s="31"/>
      <c r="F13" s="12"/>
      <c r="G13" s="12"/>
      <c r="H13" s="12"/>
      <c r="I13" s="12"/>
      <c r="J13" s="12"/>
      <c r="K13" s="12"/>
      <c r="L13" s="12"/>
    </row>
    <row r="14" spans="1:12" ht="17.399999999999999">
      <c r="A14" s="6" t="s">
        <v>10</v>
      </c>
      <c r="B14" s="6" t="s">
        <v>11</v>
      </c>
      <c r="C14" s="7">
        <v>14</v>
      </c>
      <c r="D14" s="7">
        <v>20</v>
      </c>
      <c r="E14" s="4"/>
      <c r="F14" s="1"/>
      <c r="G14" s="1"/>
      <c r="H14" s="1"/>
      <c r="I14" s="1"/>
      <c r="J14" s="1"/>
      <c r="K14" s="1"/>
      <c r="L14" s="1"/>
    </row>
    <row r="15" spans="1:12" ht="17.399999999999999">
      <c r="A15" s="8" t="s">
        <v>12</v>
      </c>
      <c r="B15" s="8" t="s">
        <v>13</v>
      </c>
      <c r="C15" s="9">
        <v>16</v>
      </c>
      <c r="D15" s="9">
        <v>20</v>
      </c>
      <c r="E15" s="4"/>
      <c r="F15" s="1"/>
      <c r="G15" s="1"/>
      <c r="H15" s="1"/>
      <c r="I15" s="1"/>
      <c r="J15" s="1"/>
      <c r="K15" s="1"/>
      <c r="L15" s="1"/>
    </row>
    <row r="16" spans="1:12" ht="17.399999999999999">
      <c r="A16" s="6" t="s">
        <v>14</v>
      </c>
      <c r="B16" s="6" t="s">
        <v>15</v>
      </c>
      <c r="C16" s="7">
        <v>24</v>
      </c>
      <c r="D16" s="7">
        <v>30</v>
      </c>
      <c r="E16" s="4"/>
      <c r="F16" s="1"/>
      <c r="G16" s="1"/>
      <c r="H16" s="1"/>
      <c r="I16" s="1"/>
      <c r="J16" s="1"/>
      <c r="K16" s="1"/>
      <c r="L16" s="1"/>
    </row>
    <row r="17" spans="1:12" ht="17.399999999999999">
      <c r="A17" s="8" t="s">
        <v>16</v>
      </c>
      <c r="B17" s="8" t="s">
        <v>17</v>
      </c>
      <c r="C17" s="9">
        <v>40</v>
      </c>
      <c r="D17" s="9">
        <v>40</v>
      </c>
      <c r="E17" s="4"/>
      <c r="F17" s="1"/>
      <c r="G17" s="1"/>
      <c r="H17" s="1"/>
      <c r="I17" s="1"/>
      <c r="J17" s="1"/>
      <c r="K17" s="1"/>
      <c r="L17" s="1"/>
    </row>
    <row r="18" spans="1:12" ht="17.399999999999999">
      <c r="A18" s="6" t="s">
        <v>18</v>
      </c>
      <c r="B18" s="6" t="s">
        <v>19</v>
      </c>
      <c r="C18" s="7">
        <v>24</v>
      </c>
      <c r="D18" s="7">
        <v>32</v>
      </c>
      <c r="E18" s="4"/>
      <c r="F18" s="1"/>
      <c r="G18" s="1"/>
      <c r="H18" s="1"/>
      <c r="I18" s="1"/>
      <c r="J18" s="1"/>
      <c r="K18" s="1"/>
      <c r="L18" s="1"/>
    </row>
    <row r="19" spans="1:12" ht="17.399999999999999">
      <c r="A19" s="8" t="s">
        <v>98</v>
      </c>
      <c r="B19" s="8" t="s">
        <v>20</v>
      </c>
      <c r="C19" s="9">
        <f>I46</f>
        <v>85</v>
      </c>
      <c r="D19" s="9">
        <f>I46</f>
        <v>85</v>
      </c>
      <c r="E19" s="34"/>
      <c r="F19" s="1"/>
      <c r="G19" s="1"/>
      <c r="H19" s="1"/>
      <c r="I19" s="1"/>
      <c r="J19" s="1"/>
      <c r="K19" s="1"/>
      <c r="L19" s="1"/>
    </row>
    <row r="20" spans="1:12" ht="17.399999999999999">
      <c r="A20" s="6" t="s">
        <v>21</v>
      </c>
      <c r="B20" s="6" t="s">
        <v>22</v>
      </c>
      <c r="C20" s="7">
        <f>H46</f>
        <v>99</v>
      </c>
      <c r="D20" s="7">
        <f>H46</f>
        <v>99</v>
      </c>
      <c r="E20" s="34"/>
      <c r="F20" s="1"/>
      <c r="G20" s="1"/>
      <c r="H20" s="1"/>
      <c r="I20" s="1"/>
      <c r="J20" s="1"/>
      <c r="K20" s="1"/>
      <c r="L20" s="1"/>
    </row>
    <row r="21" spans="1:12" ht="17.399999999999999">
      <c r="A21" s="8" t="s">
        <v>23</v>
      </c>
      <c r="B21" s="8" t="s">
        <v>24</v>
      </c>
      <c r="C21" s="9">
        <v>40</v>
      </c>
      <c r="D21" s="9">
        <v>50</v>
      </c>
      <c r="E21" s="4"/>
      <c r="F21" s="1"/>
      <c r="G21" s="1"/>
      <c r="H21" s="1"/>
      <c r="I21" s="1"/>
      <c r="J21" s="1"/>
      <c r="K21" s="1"/>
      <c r="L21" s="1"/>
    </row>
    <row r="22" spans="1:12" ht="17.399999999999999">
      <c r="A22" s="6" t="s">
        <v>25</v>
      </c>
      <c r="B22" s="6" t="s">
        <v>26</v>
      </c>
      <c r="C22" s="7">
        <v>50</v>
      </c>
      <c r="D22" s="7">
        <v>50</v>
      </c>
      <c r="E22" s="4"/>
      <c r="F22" s="1"/>
      <c r="G22" s="1"/>
      <c r="H22" s="1"/>
      <c r="I22" s="1"/>
      <c r="J22" s="1"/>
      <c r="K22" s="1"/>
      <c r="L22" s="1"/>
    </row>
    <row r="23" spans="1:12" ht="17.399999999999999">
      <c r="A23" s="8" t="s">
        <v>27</v>
      </c>
      <c r="B23" s="8" t="s">
        <v>28</v>
      </c>
      <c r="C23" s="9">
        <v>40</v>
      </c>
      <c r="D23" s="9">
        <v>50</v>
      </c>
      <c r="E23" s="4"/>
      <c r="F23" s="1"/>
      <c r="G23" s="1"/>
      <c r="H23" s="1"/>
      <c r="I23" s="1"/>
      <c r="J23" s="1"/>
      <c r="K23" s="1"/>
      <c r="L23" s="1"/>
    </row>
    <row r="24" spans="1:12" ht="17.399999999999999">
      <c r="A24" s="6" t="s">
        <v>29</v>
      </c>
      <c r="B24" s="6" t="s">
        <v>30</v>
      </c>
      <c r="C24" s="7">
        <v>30</v>
      </c>
      <c r="D24" s="7">
        <v>30</v>
      </c>
      <c r="E24" s="4"/>
      <c r="F24" s="1"/>
      <c r="G24" s="1"/>
      <c r="H24" s="1"/>
      <c r="I24" s="1"/>
      <c r="J24" s="1"/>
      <c r="K24" s="1"/>
      <c r="L24" s="1"/>
    </row>
    <row r="25" spans="1:12" ht="17.399999999999999">
      <c r="A25" s="8" t="s">
        <v>31</v>
      </c>
      <c r="B25" s="8" t="s">
        <v>32</v>
      </c>
      <c r="C25" s="9">
        <v>40</v>
      </c>
      <c r="D25" s="9">
        <v>50</v>
      </c>
      <c r="E25" s="4"/>
      <c r="F25" s="1"/>
      <c r="G25" s="1"/>
      <c r="H25" s="1"/>
      <c r="I25" s="1"/>
      <c r="J25" s="1"/>
      <c r="K25" s="1"/>
      <c r="L25" s="1"/>
    </row>
    <row r="26" spans="1:12" ht="17.399999999999999">
      <c r="A26" s="10" t="s">
        <v>33</v>
      </c>
      <c r="B26" s="10"/>
      <c r="C26" s="11">
        <f>SUM(C14:C25)</f>
        <v>502</v>
      </c>
      <c r="D26" s="11">
        <f>SUM(D14:D25)</f>
        <v>556</v>
      </c>
      <c r="E26" s="5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.399999999999999">
      <c r="A28" s="21" t="s">
        <v>34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 ht="52.2">
      <c r="A29" s="22" t="s">
        <v>35</v>
      </c>
      <c r="B29" s="22" t="s">
        <v>36</v>
      </c>
      <c r="C29" s="22" t="s">
        <v>37</v>
      </c>
      <c r="D29" s="22" t="s">
        <v>38</v>
      </c>
      <c r="E29" s="22" t="s">
        <v>101</v>
      </c>
      <c r="F29" s="22" t="s">
        <v>39</v>
      </c>
      <c r="G29" s="22" t="s">
        <v>40</v>
      </c>
      <c r="H29" s="22" t="s">
        <v>41</v>
      </c>
      <c r="I29" s="22" t="s">
        <v>100</v>
      </c>
      <c r="J29" s="22" t="s">
        <v>42</v>
      </c>
      <c r="K29" s="22" t="s">
        <v>43</v>
      </c>
      <c r="L29" s="22" t="s">
        <v>44</v>
      </c>
    </row>
    <row r="30" spans="1:12" ht="17.399999999999999">
      <c r="A30" s="12" t="s">
        <v>45</v>
      </c>
      <c r="B30" s="6" t="s">
        <v>46</v>
      </c>
      <c r="C30" s="6" t="s">
        <v>47</v>
      </c>
      <c r="D30" s="13">
        <v>0.5</v>
      </c>
      <c r="E30" s="13">
        <v>1</v>
      </c>
      <c r="F30" s="13">
        <v>2</v>
      </c>
      <c r="G30" s="13">
        <v>1</v>
      </c>
      <c r="H30" s="13">
        <v>3.5</v>
      </c>
      <c r="I30" s="14">
        <f t="shared" ref="I30:I45" si="0">SUM(D30:G30)</f>
        <v>4.5</v>
      </c>
      <c r="J30" s="14">
        <f t="shared" ref="J30:J45" si="1">SUM(I30,H30)</f>
        <v>8</v>
      </c>
      <c r="K30" s="15">
        <v>8</v>
      </c>
      <c r="L30" s="15">
        <v>16</v>
      </c>
    </row>
    <row r="31" spans="1:12" ht="17.399999999999999">
      <c r="A31" s="16" t="s">
        <v>48</v>
      </c>
      <c r="B31" s="8" t="s">
        <v>49</v>
      </c>
      <c r="C31" s="8" t="s">
        <v>50</v>
      </c>
      <c r="D31" s="13">
        <v>0.5</v>
      </c>
      <c r="E31" s="13">
        <v>1.5</v>
      </c>
      <c r="F31" s="13">
        <v>3</v>
      </c>
      <c r="G31" s="13">
        <v>1</v>
      </c>
      <c r="H31" s="13">
        <v>6</v>
      </c>
      <c r="I31" s="14">
        <f t="shared" si="0"/>
        <v>6</v>
      </c>
      <c r="J31" s="14">
        <f t="shared" si="1"/>
        <v>12</v>
      </c>
      <c r="K31" s="15">
        <v>10</v>
      </c>
      <c r="L31" s="15">
        <v>20</v>
      </c>
    </row>
    <row r="32" spans="1:12" ht="17.399999999999999">
      <c r="A32" s="12" t="s">
        <v>51</v>
      </c>
      <c r="B32" s="6" t="s">
        <v>52</v>
      </c>
      <c r="C32" s="6" t="s">
        <v>53</v>
      </c>
      <c r="D32" s="13">
        <v>0.5</v>
      </c>
      <c r="E32" s="13">
        <v>0.5</v>
      </c>
      <c r="F32" s="13">
        <v>2</v>
      </c>
      <c r="G32" s="13">
        <v>1</v>
      </c>
      <c r="H32" s="13">
        <v>2</v>
      </c>
      <c r="I32" s="14">
        <f t="shared" si="0"/>
        <v>4</v>
      </c>
      <c r="J32" s="14">
        <f t="shared" si="1"/>
        <v>6</v>
      </c>
      <c r="K32" s="15">
        <v>4</v>
      </c>
      <c r="L32" s="15">
        <v>8</v>
      </c>
    </row>
    <row r="33" spans="1:12" ht="17.399999999999999">
      <c r="A33" s="16" t="s">
        <v>54</v>
      </c>
      <c r="B33" s="8" t="s">
        <v>55</v>
      </c>
      <c r="C33" s="8" t="s">
        <v>56</v>
      </c>
      <c r="D33" s="13">
        <v>0.5</v>
      </c>
      <c r="E33" s="13">
        <v>1</v>
      </c>
      <c r="F33" s="13">
        <v>2.5</v>
      </c>
      <c r="G33" s="13">
        <v>1</v>
      </c>
      <c r="H33" s="13">
        <v>3</v>
      </c>
      <c r="I33" s="14">
        <f t="shared" si="0"/>
        <v>5</v>
      </c>
      <c r="J33" s="14">
        <f t="shared" si="1"/>
        <v>8</v>
      </c>
      <c r="K33" s="15">
        <v>8</v>
      </c>
      <c r="L33" s="15">
        <v>16</v>
      </c>
    </row>
    <row r="34" spans="1:12" ht="17.399999999999999">
      <c r="A34" s="12" t="s">
        <v>57</v>
      </c>
      <c r="B34" s="6" t="s">
        <v>58</v>
      </c>
      <c r="C34" s="6" t="s">
        <v>59</v>
      </c>
      <c r="D34" s="13">
        <v>0.5</v>
      </c>
      <c r="E34" s="13">
        <v>1</v>
      </c>
      <c r="F34" s="13">
        <v>2.5</v>
      </c>
      <c r="G34" s="13">
        <v>1</v>
      </c>
      <c r="H34" s="13">
        <v>5</v>
      </c>
      <c r="I34" s="14">
        <f t="shared" si="0"/>
        <v>5</v>
      </c>
      <c r="J34" s="14">
        <f t="shared" si="1"/>
        <v>10</v>
      </c>
      <c r="K34" s="15">
        <v>8</v>
      </c>
      <c r="L34" s="15">
        <v>18</v>
      </c>
    </row>
    <row r="35" spans="1:12" ht="17.399999999999999">
      <c r="A35" s="16" t="s">
        <v>60</v>
      </c>
      <c r="B35" s="8" t="s">
        <v>61</v>
      </c>
      <c r="C35" s="8" t="s">
        <v>62</v>
      </c>
      <c r="D35" s="13">
        <v>0.5</v>
      </c>
      <c r="E35" s="13">
        <v>1</v>
      </c>
      <c r="F35" s="13">
        <v>3</v>
      </c>
      <c r="G35" s="13">
        <v>1</v>
      </c>
      <c r="H35" s="13">
        <v>4.5</v>
      </c>
      <c r="I35" s="14">
        <f t="shared" si="0"/>
        <v>5.5</v>
      </c>
      <c r="J35" s="14">
        <f t="shared" si="1"/>
        <v>10</v>
      </c>
      <c r="K35" s="15">
        <v>10</v>
      </c>
      <c r="L35" s="15">
        <v>20</v>
      </c>
    </row>
    <row r="36" spans="1:12" ht="17.399999999999999">
      <c r="A36" s="12" t="s">
        <v>63</v>
      </c>
      <c r="B36" s="6" t="s">
        <v>64</v>
      </c>
      <c r="C36" s="6" t="s">
        <v>65</v>
      </c>
      <c r="D36" s="13">
        <v>0.5</v>
      </c>
      <c r="E36" s="13">
        <v>2</v>
      </c>
      <c r="F36" s="13">
        <v>3.5</v>
      </c>
      <c r="G36" s="13">
        <v>1</v>
      </c>
      <c r="H36" s="13">
        <v>13</v>
      </c>
      <c r="I36" s="14">
        <f t="shared" si="0"/>
        <v>7</v>
      </c>
      <c r="J36" s="14">
        <f t="shared" si="1"/>
        <v>20</v>
      </c>
      <c r="K36" s="15">
        <v>20</v>
      </c>
      <c r="L36" s="15">
        <v>40</v>
      </c>
    </row>
    <row r="37" spans="1:12" ht="17.399999999999999">
      <c r="A37" s="16" t="s">
        <v>66</v>
      </c>
      <c r="B37" s="8" t="s">
        <v>67</v>
      </c>
      <c r="C37" s="8" t="s">
        <v>68</v>
      </c>
      <c r="D37" s="13">
        <v>0.5</v>
      </c>
      <c r="E37" s="13">
        <v>1.5</v>
      </c>
      <c r="F37" s="13">
        <v>3</v>
      </c>
      <c r="G37" s="13">
        <v>1</v>
      </c>
      <c r="H37" s="13">
        <v>10</v>
      </c>
      <c r="I37" s="14">
        <f t="shared" si="0"/>
        <v>6</v>
      </c>
      <c r="J37" s="14">
        <f t="shared" si="1"/>
        <v>16</v>
      </c>
      <c r="K37" s="15">
        <v>16</v>
      </c>
      <c r="L37" s="15">
        <v>32</v>
      </c>
    </row>
    <row r="38" spans="1:12" ht="17.399999999999999">
      <c r="A38" s="12" t="s">
        <v>69</v>
      </c>
      <c r="B38" s="6" t="s">
        <v>70</v>
      </c>
      <c r="C38" s="6" t="s">
        <v>71</v>
      </c>
      <c r="D38" s="13">
        <v>0.5</v>
      </c>
      <c r="E38" s="13">
        <v>2</v>
      </c>
      <c r="F38" s="13">
        <v>3.5</v>
      </c>
      <c r="G38" s="13">
        <v>1</v>
      </c>
      <c r="H38" s="13">
        <v>13</v>
      </c>
      <c r="I38" s="14">
        <f t="shared" si="0"/>
        <v>7</v>
      </c>
      <c r="J38" s="14">
        <f t="shared" si="1"/>
        <v>20</v>
      </c>
      <c r="K38" s="15">
        <v>20</v>
      </c>
      <c r="L38" s="15">
        <v>40</v>
      </c>
    </row>
    <row r="39" spans="1:12" ht="17.399999999999999">
      <c r="A39" s="16" t="s">
        <v>72</v>
      </c>
      <c r="B39" s="8" t="s">
        <v>73</v>
      </c>
      <c r="C39" s="8" t="s">
        <v>74</v>
      </c>
      <c r="D39" s="13">
        <v>0.5</v>
      </c>
      <c r="E39" s="13">
        <v>1</v>
      </c>
      <c r="F39" s="13">
        <v>2.5</v>
      </c>
      <c r="G39" s="13">
        <v>1</v>
      </c>
      <c r="H39" s="13">
        <v>3</v>
      </c>
      <c r="I39" s="14">
        <f t="shared" si="0"/>
        <v>5</v>
      </c>
      <c r="J39" s="14">
        <f t="shared" si="1"/>
        <v>8</v>
      </c>
      <c r="K39" s="15">
        <v>8</v>
      </c>
      <c r="L39" s="15">
        <v>16</v>
      </c>
    </row>
    <row r="40" spans="1:12" ht="17.399999999999999">
      <c r="A40" s="12" t="s">
        <v>75</v>
      </c>
      <c r="B40" s="6" t="s">
        <v>76</v>
      </c>
      <c r="C40" s="6" t="s">
        <v>77</v>
      </c>
      <c r="D40" s="13">
        <v>0.5</v>
      </c>
      <c r="E40" s="13">
        <v>1.5</v>
      </c>
      <c r="F40" s="13">
        <v>3.5</v>
      </c>
      <c r="G40" s="13">
        <v>1</v>
      </c>
      <c r="H40" s="13">
        <v>7.5</v>
      </c>
      <c r="I40" s="14">
        <f t="shared" si="0"/>
        <v>6.5</v>
      </c>
      <c r="J40" s="14">
        <f t="shared" si="1"/>
        <v>14</v>
      </c>
      <c r="K40" s="15">
        <v>16</v>
      </c>
      <c r="L40" s="15">
        <v>32</v>
      </c>
    </row>
    <row r="41" spans="1:12" ht="17.399999999999999">
      <c r="A41" s="16" t="s">
        <v>78</v>
      </c>
      <c r="B41" s="8" t="s">
        <v>79</v>
      </c>
      <c r="C41" s="8" t="s">
        <v>80</v>
      </c>
      <c r="D41" s="13">
        <v>0.5</v>
      </c>
      <c r="E41" s="13">
        <v>1.5</v>
      </c>
      <c r="F41" s="13">
        <v>4</v>
      </c>
      <c r="G41" s="13">
        <v>1</v>
      </c>
      <c r="H41" s="13">
        <v>7</v>
      </c>
      <c r="I41" s="14">
        <f t="shared" si="0"/>
        <v>7</v>
      </c>
      <c r="J41" s="14">
        <f t="shared" si="1"/>
        <v>14</v>
      </c>
      <c r="K41" s="15">
        <v>18</v>
      </c>
      <c r="L41" s="15">
        <v>36</v>
      </c>
    </row>
    <row r="42" spans="1:12" ht="17.399999999999999">
      <c r="A42" s="12" t="s">
        <v>81</v>
      </c>
      <c r="B42" s="6" t="s">
        <v>82</v>
      </c>
      <c r="C42" s="6" t="s">
        <v>83</v>
      </c>
      <c r="D42" s="13">
        <v>0.5</v>
      </c>
      <c r="E42" s="13">
        <v>1</v>
      </c>
      <c r="F42" s="13">
        <v>2.5</v>
      </c>
      <c r="G42" s="13">
        <v>1</v>
      </c>
      <c r="H42" s="13">
        <v>5</v>
      </c>
      <c r="I42" s="14">
        <f t="shared" si="0"/>
        <v>5</v>
      </c>
      <c r="J42" s="14">
        <f t="shared" si="1"/>
        <v>10</v>
      </c>
      <c r="K42" s="15">
        <v>10</v>
      </c>
      <c r="L42" s="15">
        <v>20</v>
      </c>
    </row>
    <row r="43" spans="1:12" ht="17.399999999999999">
      <c r="A43" s="16" t="s">
        <v>84</v>
      </c>
      <c r="B43" s="8" t="s">
        <v>85</v>
      </c>
      <c r="C43" s="8" t="s">
        <v>86</v>
      </c>
      <c r="D43" s="13">
        <v>0.5</v>
      </c>
      <c r="E43" s="13">
        <v>2</v>
      </c>
      <c r="F43" s="13">
        <v>3.5</v>
      </c>
      <c r="G43" s="13">
        <v>1</v>
      </c>
      <c r="H43" s="13">
        <v>13</v>
      </c>
      <c r="I43" s="14">
        <f t="shared" si="0"/>
        <v>7</v>
      </c>
      <c r="J43" s="14">
        <f t="shared" si="1"/>
        <v>20</v>
      </c>
      <c r="K43" s="15">
        <v>15</v>
      </c>
      <c r="L43" s="15">
        <v>30</v>
      </c>
    </row>
    <row r="44" spans="1:12" ht="17.399999999999999">
      <c r="A44" s="12" t="s">
        <v>87</v>
      </c>
      <c r="B44" s="6" t="s">
        <v>88</v>
      </c>
      <c r="C44" s="6" t="s">
        <v>89</v>
      </c>
      <c r="D44" s="13">
        <v>0.5</v>
      </c>
      <c r="E44" s="13">
        <v>1</v>
      </c>
      <c r="F44" s="13">
        <v>2</v>
      </c>
      <c r="G44" s="13">
        <v>1</v>
      </c>
      <c r="H44" s="13">
        <v>3.5</v>
      </c>
      <c r="I44" s="14">
        <f t="shared" si="0"/>
        <v>4.5</v>
      </c>
      <c r="J44" s="14">
        <f t="shared" si="1"/>
        <v>8</v>
      </c>
      <c r="K44" s="15">
        <v>8</v>
      </c>
      <c r="L44" s="15">
        <v>16</v>
      </c>
    </row>
    <row r="45" spans="1:12" ht="17.399999999999999">
      <c r="A45" s="16" t="s">
        <v>90</v>
      </c>
      <c r="B45" s="8" t="s">
        <v>91</v>
      </c>
      <c r="C45" s="8" t="s">
        <v>92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4">
        <f t="shared" si="0"/>
        <v>0</v>
      </c>
      <c r="J45" s="14">
        <f t="shared" si="1"/>
        <v>0</v>
      </c>
      <c r="K45" s="15">
        <v>21</v>
      </c>
      <c r="L45" s="15">
        <v>40</v>
      </c>
    </row>
    <row r="46" spans="1:12" s="26" customFormat="1" ht="17.399999999999999">
      <c r="A46" s="23" t="s">
        <v>93</v>
      </c>
      <c r="B46" s="23"/>
      <c r="C46" s="23"/>
      <c r="D46" s="24">
        <f t="shared" ref="D46:J46" si="2">SUM(D30:D45)</f>
        <v>7.5</v>
      </c>
      <c r="E46" s="24">
        <f t="shared" si="2"/>
        <v>19.5</v>
      </c>
      <c r="F46" s="24">
        <f t="shared" si="2"/>
        <v>43</v>
      </c>
      <c r="G46" s="24">
        <f t="shared" si="2"/>
        <v>15</v>
      </c>
      <c r="H46" s="24">
        <f t="shared" si="2"/>
        <v>99</v>
      </c>
      <c r="I46" s="24">
        <f t="shared" si="2"/>
        <v>85</v>
      </c>
      <c r="J46" s="24">
        <f t="shared" si="2"/>
        <v>184</v>
      </c>
      <c r="K46" s="25">
        <f>SUM(K30:K45)</f>
        <v>200</v>
      </c>
      <c r="L46" s="25">
        <f>SUM(L30:L45)</f>
        <v>400</v>
      </c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6">
      <c r="A49" s="2" t="s">
        <v>94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20" t="s">
        <v>105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20" t="s">
        <v>106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20" t="s">
        <v>103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20" t="s">
        <v>104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3" t="s">
        <v>95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3" t="s">
        <v>96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3" t="s">
        <v>97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 AI-first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Fike, KC</dc:creator>
  <cp:lastModifiedBy>Fike, KC</cp:lastModifiedBy>
  <dcterms:created xsi:type="dcterms:W3CDTF">2026-09-29T23:41:04Z</dcterms:created>
  <dcterms:modified xsi:type="dcterms:W3CDTF">2026-09-30T03:07:34Z</dcterms:modified>
</cp:coreProperties>
</file>