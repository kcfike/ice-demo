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e5944b787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1 AI-first estimate" sheetId="1" r:id="R59c933a28049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"/>
  </x:numFmts>
  <x:fonts count="9">
    <x:font>
      <x:sz val="11"/>
      <x:name val="Carlito"/>
    </x:font>
    <x:font>
      <x:sz val="10"/>
      <x:color rgb="FF213246"/>
      <x:name val="Arial"/>
    </x:font>
    <x:font>
      <x:b/>
      <x:sz val="15"/>
      <x:color rgb="FF17324D"/>
      <x:name val="Arial"/>
    </x:font>
    <x:font>
      <x:i/>
      <x:sz val="10"/>
      <x:color rgb="FF66778A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  <x:font>
      <x:b/>
      <x:sz val="12"/>
      <x:color rgb="FF17324D"/>
      <x:name val="Arial"/>
    </x:font>
    <x:font>
      <x:sz val="9"/>
      <x:color rgb="FF66778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315F7D"/>
      </x:patternFill>
    </x:fill>
    <x:fill>
      <x:patternFill patternType="solid">
        <x:fgColor rgb="FFFFF0C7"/>
      </x:patternFill>
    </x:fill>
    <x:fill>
      <x:patternFill patternType="solid">
        <x:fgColor rgb="FFE4F2E8"/>
      </x:patternFill>
    </x:fill>
    <x:fill>
      <x:patternFill patternType="solid">
        <x:fgColor rgb="FFF6F8FA"/>
      </x:patternFill>
    </x:fill>
    <x:fill>
      <x:patternFill patternType="solid">
        <x:fgColor rgb="FFFFF8E6"/>
      </x:patternFill>
    </x:fill>
    <x:fill>
      <x:patternFill patternType="solid">
        <x:fgColor rgb="FFEAF1F6"/>
      </x:patternFill>
    </x:fill>
    <x:fill>
      <x:patternFill patternType="solid">
        <x:fgColor rgb="FFEDF4ED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4" borderId="0" xfId="0" applyNumberFormat="1" applyFont="1" applyFill="1" applyBorder="1"/>
    <x:xf numFmtId="201" fontId="1" fillId="4" borderId="0" xfId="0" applyNumberFormat="1" applyFont="1" applyFill="1" applyBorder="1"/>
    <x:xf numFmtId="201" fontId="1" fillId="6" borderId="0" xfId="0" applyNumberFormat="1" applyFont="1" applyFill="1" applyBorder="1"/>
    <x:xf numFmtId="201" fontId="6" fillId="5" borderId="0" xfId="0" applyNumberFormat="1" applyFont="1" applyFill="1" applyBorder="1"/>
    <x:xf numFmtId="200" fontId="1" fillId="7" borderId="0" xfId="0" applyNumberFormat="1" applyFont="1" applyFill="1" applyBorder="1"/>
    <x:xf numFmtId="200" fontId="1" fillId="8" borderId="0" xfId="0" applyNumberFormat="1" applyFont="1" applyFill="1" applyBorder="1"/>
    <x:xf numFmtId="200" fontId="4" fillId="2" borderId="0" xfId="0" applyNumberFormat="1" applyFont="1" applyFill="1" applyBorder="1"/>
    <x:xf numFmtId="202" fontId="1" fillId="9" borderId="0" xfId="0" applyNumberFormat="1" applyFont="1" applyFill="1" applyBorder="1"/>
    <x:xf numFmtId="202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2cbeb2bca4fbb" /><Relationship Type="http://schemas.openxmlformats.org/officeDocument/2006/relationships/theme" Target="/xl/theme/theme1.xml" Id="R943b9c5091724c2e" /><Relationship Type="http://schemas.openxmlformats.org/officeDocument/2006/relationships/sharedStrings" Target="/xl/sharedStrings.xml" Id="R6f6b1e3030d942d2" /><Relationship Type="http://schemas.openxmlformats.org/officeDocument/2006/relationships/worksheet" Target="/xl/worksheets/sheet1.xml" Id="R59c933a28049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35" hidden="0" customWidth="1"/>
    <x:col min="2" max="2" width="55" hidden="0" customWidth="1"/>
    <x:col min="3" max="3" width="35" hidden="0" customWidth="1"/>
    <x:col min="4" max="4" width="11" hidden="0" customWidth="1"/>
    <x:col min="5" max="5" width="14" hidden="0" customWidth="1"/>
    <x:col min="6" max="6" width="18" hidden="0" customWidth="1"/>
    <x:col min="7" max="7" width="34" hidden="0" customWidth="1"/>
    <x:col min="8" max="8" width="20" hidden="0" customWidth="1"/>
    <x:col min="9" max="9" width="19" hidden="0" customWidth="1"/>
    <x:col min="10" max="10" width="16" hidden="0" customWidth="1"/>
    <x:col min="11" max="11" width="42" hidden="0" customWidth="1"/>
    <x:col min="12" max="12" width="15" hidden="0" customWidth="1"/>
    <x:col min="13" max="13" width="15" hidden="0" customWidth="1"/>
  </x:cols>
  <x:sheetData>
    <x:row r="2">
      <x:c r="A2" s="2" t="str">
        <x:v>ICE Services Project Lifecycle Platform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AI-first R1 project estimate using BMAD, Spec Kit and Ralph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4" customHeight="1">
      <x:c r="A5" s="8" t="str">
        <x:v>Metric</x:v>
      </x:c>
      <x:c r="B5" s="8" t="str">
        <x:v>Low</x:v>
      </x:c>
      <x:c r="C5" s="8" t="str">
        <x:v>Working</x:v>
      </x:c>
      <x:c r="D5" s="8" t="str">
        <x:v>High</x:v>
      </x:c>
      <x:c r="E5" s="1"/>
      <x:c r="F5" s="1"/>
      <x:c r="G5" s="8" t="str">
        <x:v>Implementation metric</x:v>
      </x:c>
      <x:c r="H5" s="8" t="str">
        <x:v>Low</x:v>
      </x:c>
      <x:c r="I5" s="8" t="str">
        <x:v>Working</x:v>
      </x:c>
      <x:c r="J5" s="8" t="str">
        <x:v>High</x:v>
      </x:c>
      <x:c r="K5" s="1"/>
      <x:c r="L5" s="1"/>
      <x:c r="M5" s="1"/>
    </x:row>
    <x:row r="6">
      <x:c r="A6" s="1" t="str">
        <x:v>Human delivery effort (hours)</x:v>
      </x:c>
      <x:c r="B6" s="22" t="n">
        <x:f>SUM(C14:C25)</x:f>
        <x:v>561</x:v>
      </x:c>
      <x:c r="C6" s="22" t="n">
        <x:f>SUM(D14:D25)</x:f>
        <x:v>788</x:v>
      </x:c>
      <x:c r="D6" s="22" t="n">
        <x:f>SUM(E14:E25)</x:f>
        <x:v>1052</x:v>
      </x:c>
      <x:c r="E6" s="1"/>
      <x:c r="F6" s="1"/>
      <x:c r="G6" s="1" t="str">
        <x:v>Direct Ralph oversight (human hours)</x:v>
      </x:c>
      <x:c r="H6" s="22" t="n">
        <x:f>C19</x:f>
        <x:v>70</x:v>
      </x:c>
      <x:c r="I6" s="22" t="n">
        <x:f>D19</x:f>
        <x:v>85</x:v>
      </x:c>
      <x:c r="J6" s="22" t="n">
        <x:f>E19</x:f>
        <x:v>110</x:v>
      </x:c>
      <x:c r="K6" s="1"/>
      <x:c r="L6" s="1"/>
      <x:c r="M6" s="1"/>
    </x:row>
    <x:row r="7">
      <x:c r="A7" s="1" t="str">
        <x:v>Equivalent person-months</x:v>
      </x:c>
      <x:c r="B7" s="21" t="n">
        <x:f>B6/160</x:f>
        <x:v>3.50625</x:v>
      </x:c>
      <x:c r="C7" s="21" t="n">
        <x:f>C6/160</x:f>
        <x:v>4.925</x:v>
      </x:c>
      <x:c r="D7" s="21" t="n">
        <x:f>D6/160</x:f>
        <x:v>6.575</x:v>
      </x:c>
      <x:c r="E7" s="1"/>
      <x:c r="F7" s="1"/>
      <x:c r="G7" s="1" t="str">
        <x:v>External-system validation (human hours)</x:v>
      </x:c>
      <x:c r="H7" s="22" t="n">
        <x:f>C20</x:f>
        <x:v>75</x:v>
      </x:c>
      <x:c r="I7" s="22" t="n">
        <x:f>D20</x:f>
        <x:v>99</x:v>
      </x:c>
      <x:c r="J7" s="22" t="n">
        <x:f>E20</x:f>
        <x:v>150</x:v>
      </x:c>
      <x:c r="K7" s="1"/>
      <x:c r="L7" s="1"/>
      <x:c r="M7" s="1"/>
    </x:row>
    <x:row r="8">
      <x:c r="A8" s="1" t="str">
        <x:v>Planning calendar (weeks)</x:v>
      </x:c>
      <x:c r="B8" s="23" t="n">
        <x:v>8</x:v>
      </x:c>
      <x:c r="C8" s="23" t="n">
        <x:v>10</x:v>
      </x:c>
      <x:c r="D8" s="23" t="n">
        <x:v>12</x:v>
      </x:c>
      <x:c r="E8" s="1"/>
      <x:c r="F8" s="1"/>
      <x:c r="G8" s="1" t="str">
        <x:v>Ralph runtime (machine hours)</x:v>
      </x:c>
      <x:c r="H8" s="22" t="n">
        <x:f>SUM(L30:L45)</x:f>
        <x:v>200</x:v>
      </x:c>
      <x:c r="I8" s="22" t="n">
        <x:f>AVERAGE(H8,J8)</x:f>
        <x:v>300</x:v>
      </x:c>
      <x:c r="J8" s="22" t="n">
        <x:f>SUM(M30:M45)</x:f>
        <x:v>400</x:v>
      </x:c>
      <x:c r="K8" s="1"/>
      <x:c r="L8" s="1"/>
      <x:c r="M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0" t="str">
        <x:v>R1 human effort by category</x:v>
      </x:c>
      <x:c r="B12" s="10" t="str"/>
      <x:c r="C12" s="10" t="str">
        <x:v>Low</x:v>
      </x:c>
      <x:c r="D12" s="10" t="str">
        <x:v>Working</x:v>
      </x:c>
      <x:c r="E12" s="10" t="str">
        <x:v>High</x:v>
      </x:c>
      <x:c r="F12" s="1"/>
      <x:c r="G12" s="1"/>
      <x:c r="H12" s="1"/>
      <x:c r="I12" s="1"/>
      <x:c r="J12" s="1"/>
      <x:c r="K12" s="1"/>
      <x:c r="L12" s="1"/>
      <x:c r="M12" s="1"/>
    </x:row>
    <x:row r="13" ht="28" customHeight="1">
      <x:c r="A13" s="8" t="str">
        <x:v>Category</x:v>
      </x:c>
      <x:c r="B13" s="8" t="str">
        <x:v>Included work</x:v>
      </x:c>
      <x:c r="C13" s="8" t="str">
        <x:v>Hours</x:v>
      </x:c>
      <x:c r="D13" s="8" t="str">
        <x:v>Hours</x:v>
      </x:c>
      <x:c r="E13" s="8" t="str">
        <x:v>Hours</x:v>
      </x:c>
      <x:c r="F13" s="1"/>
      <x:c r="G13" s="1"/>
      <x:c r="H13" s="1"/>
      <x:c r="I13" s="1"/>
      <x:c r="J13" s="1"/>
      <x:c r="K13" s="1"/>
      <x:c r="L13" s="1"/>
      <x:c r="M13" s="1"/>
    </x:row>
    <x:row r="14" ht="42" customHeight="1">
      <x:c r="A14" s="32" t="str">
        <x:v>BMAD product and requirements package</x:v>
      </x:c>
      <x:c r="B14" s="32" t="str">
        <x:v>Source synthesis, PRD, roles, scope, traceability and release framing</x:v>
      </x:c>
      <x:c r="C14" s="24" t="n">
        <x:v>16</x:v>
      </x:c>
      <x:c r="D14" s="24" t="n">
        <x:v>24</x:v>
      </x:c>
      <x:c r="E14" s="24" t="n">
        <x:v>32</x:v>
      </x:c>
      <x:c r="F14" s="1"/>
      <x:c r="G14" s="1"/>
      <x:c r="H14" s="1"/>
      <x:c r="I14" s="1"/>
      <x:c r="J14" s="1"/>
      <x:c r="K14" s="1"/>
      <x:c r="L14" s="1"/>
      <x:c r="M14" s="1"/>
    </x:row>
    <x:row r="15" ht="42" customHeight="1">
      <x:c r="A15" s="33" t="str">
        <x:v>UX workflow and screen specification</x:v>
      </x:c>
      <x:c r="B15" s="33" t="str">
        <x:v>Journeys, states, screen inventory and acceptance flows</x:v>
      </x:c>
      <x:c r="C15" s="25" t="n">
        <x:v>20</x:v>
      </x:c>
      <x:c r="D15" s="25" t="n">
        <x:v>30</x:v>
      </x:c>
      <x:c r="E15" s="25" t="n">
        <x:v>40</x:v>
      </x:c>
      <x:c r="F15" s="1"/>
      <x:c r="G15" s="1"/>
      <x:c r="H15" s="1"/>
      <x:c r="I15" s="1"/>
      <x:c r="J15" s="1"/>
      <x:c r="K15" s="1"/>
      <x:c r="L15" s="1"/>
      <x:c r="M15" s="1"/>
    </x:row>
    <x:row r="16" ht="42" customHeight="1">
      <x:c r="A16" s="32" t="str">
        <x:v>Architecture and decision review</x:v>
      </x:c>
      <x:c r="B16" s="32" t="str">
        <x:v>Application, identity, documents, persistence and integration patterns</x:v>
      </x:c>
      <x:c r="C16" s="24" t="n">
        <x:v>30</x:v>
      </x:c>
      <x:c r="D16" s="24" t="n">
        <x:v>45</x:v>
      </x:c>
      <x:c r="E16" s="24" t="n">
        <x:v>60</x:v>
      </x:c>
      <x:c r="F16" s="1"/>
      <x:c r="G16" s="1"/>
      <x:c r="H16" s="1"/>
      <x:c r="I16" s="1"/>
      <x:c r="J16" s="1"/>
      <x:c r="K16" s="1"/>
      <x:c r="L16" s="1"/>
      <x:c r="M16" s="1"/>
    </x:row>
    <x:row r="17" ht="42" customHeight="1">
      <x:c r="A17" s="33" t="str">
        <x:v>API spikes and technical validation</x:v>
      </x:c>
      <x:c r="B17" s="33" t="str">
        <x:v>T-Sheets, Procurement, HR, AR and document repository validation</x:v>
      </x:c>
      <x:c r="C17" s="25" t="n">
        <x:v>40</x:v>
      </x:c>
      <x:c r="D17" s="25" t="n">
        <x:v>60</x:v>
      </x:c>
      <x:c r="E17" s="25" t="n">
        <x:v>80</x:v>
      </x:c>
      <x:c r="F17" s="1"/>
      <x:c r="G17" s="1"/>
      <x:c r="H17" s="1"/>
      <x:c r="I17" s="1"/>
      <x:c r="J17" s="1"/>
      <x:c r="K17" s="1"/>
      <x:c r="L17" s="1"/>
      <x:c r="M17" s="1"/>
    </x:row>
    <x:row r="18" ht="42" customHeight="1">
      <x:c r="A18" s="32" t="str">
        <x:v>Spec Kit feature preparation</x:v>
      </x:c>
      <x:c r="B18" s="32" t="str">
        <x:v>Specification, clarify, plan, tasks and readiness review for R1 features</x:v>
      </x:c>
      <x:c r="C18" s="24" t="n">
        <x:v>40</x:v>
      </x:c>
      <x:c r="D18" s="24" t="n">
        <x:v>50</x:v>
      </x:c>
      <x:c r="E18" s="24" t="n">
        <x:v>60</x:v>
      </x:c>
      <x:c r="F18" s="1"/>
      <x:c r="G18" s="1"/>
      <x:c r="H18" s="1"/>
      <x:c r="I18" s="1"/>
      <x:c r="J18" s="1"/>
      <x:c r="K18" s="1"/>
      <x:c r="L18" s="1"/>
      <x:c r="M18" s="1"/>
    </x:row>
    <x:row r="19" ht="42" customHeight="1">
      <x:c r="A19" s="33" t="str">
        <x:v>Direct Ralph oversight</x:v>
      </x:c>
      <x:c r="B19" s="33" t="str">
        <x:v>Feature setup, exceptions, review, acceptance and checkpoints</x:v>
      </x:c>
      <x:c r="C19" s="25" t="n">
        <x:v>70</x:v>
      </x:c>
      <x:c r="D19" s="25" t="n">
        <x:v>85</x:v>
      </x:c>
      <x:c r="E19" s="25" t="n">
        <x:v>110</x:v>
      </x:c>
      <x:c r="F19" s="1"/>
      <x:c r="G19" s="1"/>
      <x:c r="H19" s="1"/>
      <x:c r="I19" s="1"/>
      <x:c r="J19" s="1"/>
      <x:c r="K19" s="1"/>
      <x:c r="L19" s="1"/>
      <x:c r="M19" s="1"/>
    </x:row>
    <x:row r="20" ht="42" customHeight="1">
      <x:c r="A20" s="32" t="str">
        <x:v>External integration validation</x:v>
      </x:c>
      <x:c r="B20" s="32" t="str">
        <x:v>Real-system credentials, mappings, API behavior and troubleshooting</x:v>
      </x:c>
      <x:c r="C20" s="24" t="n">
        <x:v>75</x:v>
      </x:c>
      <x:c r="D20" s="24" t="n">
        <x:v>99</x:v>
      </x:c>
      <x:c r="E20" s="24" t="n">
        <x:v>150</x:v>
      </x:c>
      <x:c r="F20" s="1"/>
      <x:c r="G20" s="1"/>
      <x:c r="H20" s="1"/>
      <x:c r="I20" s="1"/>
      <x:c r="J20" s="1"/>
      <x:c r="K20" s="1"/>
      <x:c r="L20" s="1"/>
      <x:c r="M20" s="1"/>
    </x:row>
    <x:row r="21" ht="42" customHeight="1">
      <x:c r="A21" s="33" t="str">
        <x:v>System-wide automated test review</x:v>
      </x:c>
      <x:c r="B21" s="33" t="str">
        <x:v>Cross-feature integration, regression and performance validation</x:v>
      </x:c>
      <x:c r="C21" s="25" t="n">
        <x:v>60</x:v>
      </x:c>
      <x:c r="D21" s="25" t="n">
        <x:v>90</x:v>
      </x:c>
      <x:c r="E21" s="25" t="n">
        <x:v>120</x:v>
      </x:c>
      <x:c r="F21" s="1"/>
      <x:c r="G21" s="1"/>
      <x:c r="H21" s="1"/>
      <x:c r="I21" s="1"/>
      <x:c r="J21" s="1"/>
      <x:c r="K21" s="1"/>
      <x:c r="L21" s="1"/>
      <x:c r="M21" s="1"/>
    </x:row>
    <x:row r="22" ht="42" customHeight="1">
      <x:c r="A22" s="32" t="str">
        <x:v>UAT preparation and support</x:v>
      </x:c>
      <x:c r="B22" s="32" t="str">
        <x:v>Scenarios, user support, defect triage and accepted corrections</x:v>
      </x:c>
      <x:c r="C22" s="24" t="n">
        <x:v>60</x:v>
      </x:c>
      <x:c r="D22" s="24" t="n">
        <x:v>90</x:v>
      </x:c>
      <x:c r="E22" s="24" t="n">
        <x:v>120</x:v>
      </x:c>
      <x:c r="F22" s="1"/>
      <x:c r="G22" s="1"/>
      <x:c r="H22" s="1"/>
      <x:c r="I22" s="1"/>
      <x:c r="J22" s="1"/>
      <x:c r="K22" s="1"/>
      <x:c r="L22" s="1"/>
      <x:c r="M22" s="1"/>
    </x:row>
    <x:row r="23" ht="42" customHeight="1">
      <x:c r="A23" s="33" t="str">
        <x:v>Migration validation and cutover</x:v>
      </x:c>
      <x:c r="B23" s="33" t="str">
        <x:v>Legacy profiling, mapping, rehearsal, reconciliation and production load</x:v>
      </x:c>
      <x:c r="C23" s="25" t="n">
        <x:v>60</x:v>
      </x:c>
      <x:c r="D23" s="25" t="n">
        <x:v>90</x:v>
      </x:c>
      <x:c r="E23" s="25" t="n">
        <x:v>120</x:v>
      </x:c>
      <x:c r="F23" s="1"/>
      <x:c r="G23" s="1"/>
      <x:c r="H23" s="1"/>
      <x:c r="I23" s="1"/>
      <x:c r="J23" s="1"/>
      <x:c r="K23" s="1"/>
      <x:c r="L23" s="1"/>
      <x:c r="M23" s="1"/>
    </x:row>
    <x:row r="24" ht="42" customHeight="1">
      <x:c r="A24" s="32" t="str">
        <x:v>Training and production support</x:v>
      </x:c>
      <x:c r="B24" s="32" t="str">
        <x:v>Guides, training, release support and initial hypercare</x:v>
      </x:c>
      <x:c r="C24" s="24" t="n">
        <x:v>30</x:v>
      </x:c>
      <x:c r="D24" s="24" t="n">
        <x:v>45</x:v>
      </x:c>
      <x:c r="E24" s="24" t="n">
        <x:v>60</x:v>
      </x:c>
      <x:c r="F24" s="1"/>
      <x:c r="G24" s="1"/>
      <x:c r="H24" s="1"/>
      <x:c r="I24" s="1"/>
      <x:c r="J24" s="1"/>
      <x:c r="K24" s="1"/>
      <x:c r="L24" s="1"/>
      <x:c r="M24" s="1"/>
    </x:row>
    <x:row r="25" ht="42" customHeight="1">
      <x:c r="A25" s="33" t="str">
        <x:v>Project coordination</x:v>
      </x:c>
      <x:c r="B25" s="33" t="str">
        <x:v>Planning, decisions, status, demonstrations and release coordination</x:v>
      </x:c>
      <x:c r="C25" s="25" t="n">
        <x:v>60</x:v>
      </x:c>
      <x:c r="D25" s="25" t="n">
        <x:v>80</x:v>
      </x:c>
      <x:c r="E25" s="25" t="n">
        <x:v>100</x:v>
      </x:c>
      <x:c r="F25" s="1"/>
      <x:c r="G25" s="1"/>
      <x:c r="H25" s="1"/>
      <x:c r="I25" s="1"/>
      <x:c r="J25" s="1"/>
      <x:c r="K25" s="1"/>
      <x:c r="L25" s="1"/>
      <x:c r="M25" s="1"/>
    </x:row>
    <x:row r="26">
      <x:c r="A26" s="13" t="str">
        <x:v>TOTAL HUMAN EFFORT</x:v>
      </x:c>
      <x:c r="B26" s="13" t="str"/>
      <x:c r="C26" s="26" t="n">
        <x:f>SUM(C14:C25)</x:f>
        <x:v>561</x:v>
      </x:c>
      <x:c r="D26" s="26" t="n">
        <x:f>SUM(D14:D25)</x:f>
        <x:v>788</x:v>
      </x:c>
      <x:c r="E26" s="26" t="n">
        <x:f>SUM(E14:E25)</x:f>
        <x:v>1052</x:v>
      </x:c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0" t="str">
        <x:v>R1 implementation detail</x:v>
      </x:c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  <x:c r="K28" s="10" t="str"/>
      <x:c r="L28" s="10" t="str"/>
      <x:c r="M28" s="10" t="str"/>
    </x:row>
    <x:row r="29" ht="45" customHeight="1">
      <x:c r="A29" s="8" t="str">
        <x:v>ID</x:v>
      </x:c>
      <x:c r="B29" s="8" t="str">
        <x:v>Capability</x:v>
      </x:c>
      <x:c r="C29" s="8" t="str">
        <x:v>Source requirements</x:v>
      </x:c>
      <x:c r="D29" s="8" t="str">
        <x:v>Setup</x:v>
      </x:c>
      <x:c r="E29" s="8" t="str">
        <x:v>Ralph exceptions</x:v>
      </x:c>
      <x:c r="F29" s="8" t="str">
        <x:v>Review and acceptance</x:v>
      </x:c>
      <x:c r="G29" s="8" t="str">
        <x:v>Merge / checkpoint</x:v>
      </x:c>
      <x:c r="H29" s="8" t="str">
        <x:v>External-system work</x:v>
      </x:c>
      <x:c r="I29" s="8" t="str">
        <x:v>Direct Ralph oversight</x:v>
      </x:c>
      <x:c r="J29" s="8" t="str">
        <x:v>Total human hours</x:v>
      </x:c>
      <x:c r="K29" s="8" t="str">
        <x:v>Notes</x:v>
      </x:c>
      <x:c r="L29" s="8" t="str">
        <x:v>Agent runtime low</x:v>
      </x:c>
      <x:c r="M29" s="8" t="str">
        <x:v>Agent runtime high</x:v>
      </x:c>
    </x:row>
    <x:row r="30" ht="46" customHeight="1">
      <x:c r="A30" s="1" t="str">
        <x:v>S01</x:v>
      </x:c>
      <x:c r="B30" s="32" t="str">
        <x:v>Platform foundation and CI/CD</x:v>
      </x:c>
      <x:c r="C30" s="32" t="str">
        <x:v>PP-045, PP-056, PP-057</x:v>
      </x:c>
      <x:c r="D30" s="27" t="n">
        <x:v>0.5</x:v>
      </x:c>
      <x:c r="E30" s="27" t="n">
        <x:v>1</x:v>
      </x:c>
      <x:c r="F30" s="27" t="n">
        <x:v>2</x:v>
      </x:c>
      <x:c r="G30" s="27" t="n">
        <x:v>1</x:v>
      </x:c>
      <x:c r="H30" s="27" t="n">
        <x:v>3.5</x:v>
      </x:c>
      <x:c r="I30" s="28" t="n">
        <x:f>SUM(D30:G30)</x:f>
        <x:v>4.5</x:v>
      </x:c>
      <x:c r="J30" s="28" t="n">
        <x:f>SUM(I30,H30)</x:f>
        <x:v>8</x:v>
      </x:c>
      <x:c r="K30" s="32" t="str">
        <x:v>Ralph performs implementation and developer tests</x:v>
      </x:c>
      <x:c r="L30" s="30" t="n">
        <x:v>8</x:v>
      </x:c>
      <x:c r="M30" s="30" t="n">
        <x:v>16</x:v>
      </x:c>
    </x:row>
    <x:row r="31" ht="46" customHeight="1">
      <x:c r="A31" s="15" t="str">
        <x:v>S02</x:v>
      </x:c>
      <x:c r="B31" s="33" t="str">
        <x:v>Identity and access</x:v>
      </x:c>
      <x:c r="C31" s="33" t="str">
        <x:v>PP-041, PP-049–052, PP-070</x:v>
      </x:c>
      <x:c r="D31" s="27" t="n">
        <x:v>0.5</x:v>
      </x:c>
      <x:c r="E31" s="27" t="n">
        <x:v>1.5</x:v>
      </x:c>
      <x:c r="F31" s="27" t="n">
        <x:v>3</x:v>
      </x:c>
      <x:c r="G31" s="27" t="n">
        <x:v>1</x:v>
      </x:c>
      <x:c r="H31" s="27" t="n">
        <x:v>6</x:v>
      </x:c>
      <x:c r="I31" s="28" t="n">
        <x:f>SUM(D31:G31)</x:f>
        <x:v>6</x:v>
      </x:c>
      <x:c r="J31" s="28" t="n">
        <x:f>SUM(I31,H31)</x:f>
        <x:v>12</x:v>
      </x:c>
      <x:c r="K31" s="33" t="str">
        <x:v>Ralph performs implementation and developer tests</x:v>
      </x:c>
      <x:c r="L31" s="30" t="n">
        <x:v>10</x:v>
      </x:c>
      <x:c r="M31" s="30" t="n">
        <x:v>20</x:v>
      </x:c>
    </x:row>
    <x:row r="32" ht="46" customHeight="1">
      <x:c r="A32" s="1" t="str">
        <x:v>S03</x:v>
      </x:c>
      <x:c r="B32" s="32" t="str">
        <x:v>Master data and configuration</x:v>
      </x:c>
      <x:c r="C32" s="32" t="str">
        <x:v>PP-033–037, PP-053</x:v>
      </x:c>
      <x:c r="D32" s="27" t="n">
        <x:v>0.5</x:v>
      </x:c>
      <x:c r="E32" s="27" t="n">
        <x:v>0.5</x:v>
      </x:c>
      <x:c r="F32" s="27" t="n">
        <x:v>2</x:v>
      </x:c>
      <x:c r="G32" s="27" t="n">
        <x:v>1</x:v>
      </x:c>
      <x:c r="H32" s="27" t="n">
        <x:v>2</x:v>
      </x:c>
      <x:c r="I32" s="28" t="n">
        <x:f>SUM(D32:G32)</x:f>
        <x:v>4</x:v>
      </x:c>
      <x:c r="J32" s="28" t="n">
        <x:f>SUM(I32,H32)</x:f>
        <x:v>6</x:v>
      </x:c>
      <x:c r="K32" s="32" t="str">
        <x:v>Ralph performs implementation and developer tests</x:v>
      </x:c>
      <x:c r="L32" s="30" t="n">
        <x:v>4</x:v>
      </x:c>
      <x:c r="M32" s="30" t="n">
        <x:v>8</x:v>
      </x:c>
    </x:row>
    <x:row r="33" ht="46" customHeight="1">
      <x:c r="A33" s="15" t="str">
        <x:v>S04</x:v>
      </x:c>
      <x:c r="B33" s="33" t="str">
        <x:v>SOW core setup</x:v>
      </x:c>
      <x:c r="C33" s="33" t="str">
        <x:v>PP-001–005, PP-009</x:v>
      </x:c>
      <x:c r="D33" s="27" t="n">
        <x:v>0.5</x:v>
      </x:c>
      <x:c r="E33" s="27" t="n">
        <x:v>1</x:v>
      </x:c>
      <x:c r="F33" s="27" t="n">
        <x:v>2.5</x:v>
      </x:c>
      <x:c r="G33" s="27" t="n">
        <x:v>1</x:v>
      </x:c>
      <x:c r="H33" s="27" t="n">
        <x:v>3</x:v>
      </x:c>
      <x:c r="I33" s="28" t="n">
        <x:f>SUM(D33:G33)</x:f>
        <x:v>5</x:v>
      </x:c>
      <x:c r="J33" s="28" t="n">
        <x:f>SUM(I33,H33)</x:f>
        <x:v>8</x:v>
      </x:c>
      <x:c r="K33" s="33" t="str">
        <x:v>Ralph performs implementation and developer tests</x:v>
      </x:c>
      <x:c r="L33" s="30" t="n">
        <x:v>8</x:v>
      </x:c>
      <x:c r="M33" s="30" t="n">
        <x:v>16</x:v>
      </x:c>
    </x:row>
    <x:row r="34" ht="46" customHeight="1">
      <x:c r="A34" s="1" t="str">
        <x:v>S05</x:v>
      </x:c>
      <x:c r="B34" s="32" t="str">
        <x:v>Document management</x:v>
      </x:c>
      <x:c r="C34" s="32" t="str">
        <x:v>PP-006, PP-046</x:v>
      </x:c>
      <x:c r="D34" s="27" t="n">
        <x:v>0.5</x:v>
      </x:c>
      <x:c r="E34" s="27" t="n">
        <x:v>1</x:v>
      </x:c>
      <x:c r="F34" s="27" t="n">
        <x:v>2.5</x:v>
      </x:c>
      <x:c r="G34" s="27" t="n">
        <x:v>1</x:v>
      </x:c>
      <x:c r="H34" s="27" t="n">
        <x:v>5</x:v>
      </x:c>
      <x:c r="I34" s="28" t="n">
        <x:f>SUM(D34:G34)</x:f>
        <x:v>5</x:v>
      </x:c>
      <x:c r="J34" s="28" t="n">
        <x:f>SUM(I34,H34)</x:f>
        <x:v>10</x:v>
      </x:c>
      <x:c r="K34" s="32" t="str">
        <x:v>Ralph performs implementation and developer tests</x:v>
      </x:c>
      <x:c r="L34" s="30" t="n">
        <x:v>8</x:v>
      </x:c>
      <x:c r="M34" s="30" t="n">
        <x:v>18</x:v>
      </x:c>
    </x:row>
    <x:row r="35" ht="46" customHeight="1">
      <x:c r="A35" s="15" t="str">
        <x:v>S06</x:v>
      </x:c>
      <x:c r="B35" s="33" t="str">
        <x:v>SOW lifecycle and audit</x:v>
      </x:c>
      <x:c r="C35" s="33" t="str">
        <x:v>PP-007–008, PP-017, PP-022, PP-042</x:v>
      </x:c>
      <x:c r="D35" s="27" t="n">
        <x:v>0.5</x:v>
      </x:c>
      <x:c r="E35" s="27" t="n">
        <x:v>1</x:v>
      </x:c>
      <x:c r="F35" s="27" t="n">
        <x:v>3</x:v>
      </x:c>
      <x:c r="G35" s="27" t="n">
        <x:v>1</x:v>
      </x:c>
      <x:c r="H35" s="27" t="n">
        <x:v>4.5</x:v>
      </x:c>
      <x:c r="I35" s="28" t="n">
        <x:f>SUM(D35:G35)</x:f>
        <x:v>5.5</x:v>
      </x:c>
      <x:c r="J35" s="28" t="n">
        <x:f>SUM(I35,H35)</x:f>
        <x:v>10</x:v>
      </x:c>
      <x:c r="K35" s="33" t="str">
        <x:v>Ralph performs implementation and developer tests</x:v>
      </x:c>
      <x:c r="L35" s="30" t="n">
        <x:v>10</x:v>
      </x:c>
      <x:c r="M35" s="30" t="n">
        <x:v>20</x:v>
      </x:c>
    </x:row>
    <x:row r="36" ht="46" customHeight="1">
      <x:c r="A36" s="1" t="str">
        <x:v>S07</x:v>
      </x:c>
      <x:c r="B36" s="32" t="str">
        <x:v>T-Sheets provisioning</x:v>
      </x:c>
      <x:c r="C36" s="32" t="str">
        <x:v>PP-010–013, PP-016, PP-039, PP-047</x:v>
      </x:c>
      <x:c r="D36" s="27" t="n">
        <x:v>0.5</x:v>
      </x:c>
      <x:c r="E36" s="27" t="n">
        <x:v>2</x:v>
      </x:c>
      <x:c r="F36" s="27" t="n">
        <x:v>3.5</x:v>
      </x:c>
      <x:c r="G36" s="27" t="n">
        <x:v>1</x:v>
      </x:c>
      <x:c r="H36" s="27" t="n">
        <x:v>13</x:v>
      </x:c>
      <x:c r="I36" s="28" t="n">
        <x:f>SUM(D36:G36)</x:f>
        <x:v>7</x:v>
      </x:c>
      <x:c r="J36" s="28" t="n">
        <x:f>SUM(I36,H36)</x:f>
        <x:v>20</x:v>
      </x:c>
      <x:c r="K36" s="32" t="str">
        <x:v>Higher real-system and data uncertainty</x:v>
      </x:c>
      <x:c r="L36" s="30" t="n">
        <x:v>20</x:v>
      </x:c>
      <x:c r="M36" s="30" t="n">
        <x:v>40</x:v>
      </x:c>
    </x:row>
    <x:row r="37" ht="46" customHeight="1">
      <x:c r="A37" s="15" t="str">
        <x:v>S08</x:v>
      </x:c>
      <x:c r="B37" s="33" t="str">
        <x:v>Labor retrieval and basic OT</x:v>
      </x:c>
      <x:c r="C37" s="33" t="str">
        <x:v>PP-014, R1 portion of PP-015</x:v>
      </x:c>
      <x:c r="D37" s="27" t="n">
        <x:v>0.5</x:v>
      </x:c>
      <x:c r="E37" s="27" t="n">
        <x:v>1.5</x:v>
      </x:c>
      <x:c r="F37" s="27" t="n">
        <x:v>3</x:v>
      </x:c>
      <x:c r="G37" s="27" t="n">
        <x:v>1</x:v>
      </x:c>
      <x:c r="H37" s="27" t="n">
        <x:v>10</x:v>
      </x:c>
      <x:c r="I37" s="28" t="n">
        <x:f>SUM(D37:G37)</x:f>
        <x:v>6</x:v>
      </x:c>
      <x:c r="J37" s="28" t="n">
        <x:f>SUM(I37,H37)</x:f>
        <x:v>16</x:v>
      </x:c>
      <x:c r="K37" s="33" t="str">
        <x:v>Ralph performs implementation and developer tests</x:v>
      </x:c>
      <x:c r="L37" s="30" t="n">
        <x:v>16</x:v>
      </x:c>
      <x:c r="M37" s="30" t="n">
        <x:v>32</x:v>
      </x:c>
    </x:row>
    <x:row r="38" ht="46" customHeight="1">
      <x:c r="A38" s="1" t="str">
        <x:v>S09</x:v>
      </x:c>
      <x:c r="B38" s="32" t="str">
        <x:v>Procurement and project costs</x:v>
      </x:c>
      <x:c r="C38" s="32" t="str">
        <x:v>PP-024, PP-038</x:v>
      </x:c>
      <x:c r="D38" s="27" t="n">
        <x:v>0.5</x:v>
      </x:c>
      <x:c r="E38" s="27" t="n">
        <x:v>2</x:v>
      </x:c>
      <x:c r="F38" s="27" t="n">
        <x:v>3.5</x:v>
      </x:c>
      <x:c r="G38" s="27" t="n">
        <x:v>1</x:v>
      </x:c>
      <x:c r="H38" s="27" t="n">
        <x:v>13</x:v>
      </x:c>
      <x:c r="I38" s="28" t="n">
        <x:f>SUM(D38:G38)</x:f>
        <x:v>7</x:v>
      </x:c>
      <x:c r="J38" s="28" t="n">
        <x:f>SUM(I38,H38)</x:f>
        <x:v>20</x:v>
      </x:c>
      <x:c r="K38" s="32" t="str">
        <x:v>Higher real-system and data uncertainty</x:v>
      </x:c>
      <x:c r="L38" s="30" t="n">
        <x:v>20</x:v>
      </x:c>
      <x:c r="M38" s="30" t="n">
        <x:v>40</x:v>
      </x:c>
    </x:row>
    <x:row r="39" ht="46" customHeight="1">
      <x:c r="A39" s="15" t="str">
        <x:v>S10</x:v>
      </x:c>
      <x:c r="B39" s="33" t="str">
        <x:v>Project financial tracking</x:v>
      </x:c>
      <x:c r="C39" s="33" t="str">
        <x:v>PP-018–019</x:v>
      </x:c>
      <x:c r="D39" s="27" t="n">
        <x:v>0.5</x:v>
      </x:c>
      <x:c r="E39" s="27" t="n">
        <x:v>1</x:v>
      </x:c>
      <x:c r="F39" s="27" t="n">
        <x:v>2.5</x:v>
      </x:c>
      <x:c r="G39" s="27" t="n">
        <x:v>1</x:v>
      </x:c>
      <x:c r="H39" s="27" t="n">
        <x:v>3</x:v>
      </x:c>
      <x:c r="I39" s="28" t="n">
        <x:f>SUM(D39:G39)</x:f>
        <x:v>5</x:v>
      </x:c>
      <x:c r="J39" s="28" t="n">
        <x:f>SUM(I39,H39)</x:f>
        <x:v>8</x:v>
      </x:c>
      <x:c r="K39" s="33" t="str">
        <x:v>Ralph performs implementation and developer tests</x:v>
      </x:c>
      <x:c r="L39" s="30" t="n">
        <x:v>8</x:v>
      </x:c>
      <x:c r="M39" s="30" t="n">
        <x:v>16</x:v>
      </x:c>
    </x:row>
    <x:row r="40" ht="46" customHeight="1">
      <x:c r="A40" s="1" t="str">
        <x:v>S11</x:v>
      </x:c>
      <x:c r="B40" s="32" t="str">
        <x:v>Billing packet assembly</x:v>
      </x:c>
      <x:c r="C40" s="32" t="str">
        <x:v>PP-023–024, PP-028</x:v>
      </x:c>
      <x:c r="D40" s="27" t="n">
        <x:v>0.5</x:v>
      </x:c>
      <x:c r="E40" s="27" t="n">
        <x:v>1.5</x:v>
      </x:c>
      <x:c r="F40" s="27" t="n">
        <x:v>3.5</x:v>
      </x:c>
      <x:c r="G40" s="27" t="n">
        <x:v>1</x:v>
      </x:c>
      <x:c r="H40" s="27" t="n">
        <x:v>7.5</x:v>
      </x:c>
      <x:c r="I40" s="28" t="n">
        <x:f>SUM(D40:G40)</x:f>
        <x:v>6.5</x:v>
      </x:c>
      <x:c r="J40" s="28" t="n">
        <x:f>SUM(I40,H40)</x:f>
        <x:v>14</x:v>
      </x:c>
      <x:c r="K40" s="32" t="str">
        <x:v>Ralph performs implementation and developer tests</x:v>
      </x:c>
      <x:c r="L40" s="30" t="n">
        <x:v>16</x:v>
      </x:c>
      <x:c r="M40" s="30" t="n">
        <x:v>32</x:v>
      </x:c>
    </x:row>
    <x:row r="41" ht="46" customHeight="1">
      <x:c r="A41" s="15" t="str">
        <x:v>S12</x:v>
      </x:c>
      <x:c r="B41" s="33" t="str">
        <x:v>Closeout and reconciliation</x:v>
      </x:c>
      <x:c r="C41" s="33" t="str">
        <x:v>PP-026, PP-030, PP-068–069</x:v>
      </x:c>
      <x:c r="D41" s="27" t="n">
        <x:v>0.5</x:v>
      </x:c>
      <x:c r="E41" s="27" t="n">
        <x:v>1.5</x:v>
      </x:c>
      <x:c r="F41" s="27" t="n">
        <x:v>4</x:v>
      </x:c>
      <x:c r="G41" s="27" t="n">
        <x:v>1</x:v>
      </x:c>
      <x:c r="H41" s="27" t="n">
        <x:v>7</x:v>
      </x:c>
      <x:c r="I41" s="28" t="n">
        <x:f>SUM(D41:G41)</x:f>
        <x:v>7</x:v>
      </x:c>
      <x:c r="J41" s="28" t="n">
        <x:f>SUM(I41,H41)</x:f>
        <x:v>14</x:v>
      </x:c>
      <x:c r="K41" s="33" t="str">
        <x:v>Ralph performs implementation and developer tests</x:v>
      </x:c>
      <x:c r="L41" s="30" t="n">
        <x:v>18</x:v>
      </x:c>
      <x:c r="M41" s="30" t="n">
        <x:v>36</x:v>
      </x:c>
    </x:row>
    <x:row r="42" ht="46" customHeight="1">
      <x:c r="A42" s="1" t="str">
        <x:v>S13</x:v>
      </x:c>
      <x:c r="B42" s="32" t="str">
        <x:v>AR handoff and billing tracking</x:v>
      </x:c>
      <x:c r="C42" s="32" t="str">
        <x:v>PP-029, PP-031, PP-040</x:v>
      </x:c>
      <x:c r="D42" s="27" t="n">
        <x:v>0.5</x:v>
      </x:c>
      <x:c r="E42" s="27" t="n">
        <x:v>1</x:v>
      </x:c>
      <x:c r="F42" s="27" t="n">
        <x:v>2.5</x:v>
      </x:c>
      <x:c r="G42" s="27" t="n">
        <x:v>1</x:v>
      </x:c>
      <x:c r="H42" s="27" t="n">
        <x:v>5</x:v>
      </x:c>
      <x:c r="I42" s="28" t="n">
        <x:f>SUM(D42:G42)</x:f>
        <x:v>5</x:v>
      </x:c>
      <x:c r="J42" s="28" t="n">
        <x:f>SUM(I42,H42)</x:f>
        <x:v>10</x:v>
      </x:c>
      <x:c r="K42" s="32" t="str">
        <x:v>Ralph performs implementation and developer tests</x:v>
      </x:c>
      <x:c r="L42" s="30" t="n">
        <x:v>10</x:v>
      </x:c>
      <x:c r="M42" s="30" t="n">
        <x:v>20</x:v>
      </x:c>
    </x:row>
    <x:row r="43" ht="46" customHeight="1">
      <x:c r="A43" s="15" t="str">
        <x:v>S15</x:v>
      </x:c>
      <x:c r="B43" s="33" t="str">
        <x:v>Data migration and cutover</x:v>
      </x:c>
      <x:c r="C43" s="33" t="str">
        <x:v>PP-044</x:v>
      </x:c>
      <x:c r="D43" s="27" t="n">
        <x:v>0.5</x:v>
      </x:c>
      <x:c r="E43" s="27" t="n">
        <x:v>2</x:v>
      </x:c>
      <x:c r="F43" s="27" t="n">
        <x:v>3.5</x:v>
      </x:c>
      <x:c r="G43" s="27" t="n">
        <x:v>1</x:v>
      </x:c>
      <x:c r="H43" s="27" t="n">
        <x:v>13</x:v>
      </x:c>
      <x:c r="I43" s="28" t="n">
        <x:f>SUM(D43:G43)</x:f>
        <x:v>7</x:v>
      </x:c>
      <x:c r="J43" s="28" t="n">
        <x:f>SUM(I43,H43)</x:f>
        <x:v>20</x:v>
      </x:c>
      <x:c r="K43" s="33" t="str">
        <x:v>Higher real-system and data uncertainty</x:v>
      </x:c>
      <x:c r="L43" s="30" t="n">
        <x:v>15</x:v>
      </x:c>
      <x:c r="M43" s="30" t="n">
        <x:v>30</x:v>
      </x:c>
    </x:row>
    <x:row r="44" ht="46" customHeight="1">
      <x:c r="A44" s="1" t="str">
        <x:v>X01</x:v>
      </x:c>
      <x:c r="B44" s="32" t="str">
        <x:v>Release and production readiness</x:v>
      </x:c>
      <x:c r="C44" s="32" t="str">
        <x:v>Cross-cutting R1 release work</x:v>
      </x:c>
      <x:c r="D44" s="27" t="n">
        <x:v>0.5</x:v>
      </x:c>
      <x:c r="E44" s="27" t="n">
        <x:v>1</x:v>
      </x:c>
      <x:c r="F44" s="27" t="n">
        <x:v>2</x:v>
      </x:c>
      <x:c r="G44" s="27" t="n">
        <x:v>1</x:v>
      </x:c>
      <x:c r="H44" s="27" t="n">
        <x:v>3.5</x:v>
      </x:c>
      <x:c r="I44" s="28" t="n">
        <x:f>SUM(D44:G44)</x:f>
        <x:v>4.5</x:v>
      </x:c>
      <x:c r="J44" s="28" t="n">
        <x:f>SUM(I44,H44)</x:f>
        <x:v>8</x:v>
      </x:c>
      <x:c r="K44" s="32" t="str">
        <x:v>Ralph performs implementation and developer tests</x:v>
      </x:c>
      <x:c r="L44" s="30" t="n">
        <x:v>8</x:v>
      </x:c>
      <x:c r="M44" s="30" t="n">
        <x:v>16</x:v>
      </x:c>
    </x:row>
    <x:row r="45" ht="46" customHeight="1">
      <x:c r="A45" s="15" t="str">
        <x:v>AGT</x:v>
      </x:c>
      <x:c r="B45" s="33" t="str">
        <x:v>Cross-feature agent regression and refactoring</x:v>
      </x:c>
      <x:c r="C45" s="33" t="str">
        <x:v>Agent-only runtime allowance</x:v>
      </x:c>
      <x:c r="D45" s="27" t="n">
        <x:v>0</x:v>
      </x:c>
      <x:c r="E45" s="27" t="n">
        <x:v>0</x:v>
      </x:c>
      <x:c r="F45" s="27" t="n">
        <x:v>0</x:v>
      </x:c>
      <x:c r="G45" s="27" t="n">
        <x:v>0</x:v>
      </x:c>
      <x:c r="H45" s="27" t="n">
        <x:v>0</x:v>
      </x:c>
      <x:c r="I45" s="28" t="n">
        <x:f>SUM(D45:G45)</x:f>
        <x:v>0</x:v>
      </x:c>
      <x:c r="J45" s="28" t="n">
        <x:f>SUM(I45,H45)</x:f>
        <x:v>0</x:v>
      </x:c>
      <x:c r="K45" s="33" t="str">
        <x:v>Unattended cross-feature agent work; no human labor added</x:v>
      </x:c>
      <x:c r="L45" s="30" t="n">
        <x:v>21</x:v>
      </x:c>
      <x:c r="M45" s="30" t="n">
        <x:v>40</x:v>
      </x:c>
    </x:row>
    <x:row r="46">
      <x:c r="A46" s="5" t="str">
        <x:v>TOTAL</x:v>
      </x:c>
      <x:c r="B46" s="5" t="str"/>
      <x:c r="C46" s="5" t="str"/>
      <x:c r="D46" s="29" t="n">
        <x:f>SUM(D30:D45)</x:f>
        <x:v>7.5</x:v>
      </x:c>
      <x:c r="E46" s="29" t="n">
        <x:f>SUM(E30:E45)</x:f>
        <x:v>19.5</x:v>
      </x:c>
      <x:c r="F46" s="29" t="n">
        <x:f>SUM(F30:F45)</x:f>
        <x:v>43</x:v>
      </x:c>
      <x:c r="G46" s="29" t="n">
        <x:f>SUM(G30:G45)</x:f>
        <x:v>15</x:v>
      </x:c>
      <x:c r="H46" s="29" t="n">
        <x:f>SUM(H30:H45)</x:f>
        <x:v>99</x:v>
      </x:c>
      <x:c r="I46" s="29" t="n">
        <x:f>SUM(I30:I45)</x:f>
        <x:v>85</x:v>
      </x:c>
      <x:c r="J46" s="29" t="n">
        <x:f>SUM(J30:J45)</x:f>
        <x:v>184</x:v>
      </x:c>
      <x:c r="K46" s="5" t="str"/>
      <x:c r="L46" s="31" t="n">
        <x:f>SUM(L30:L45)</x:f>
        <x:v>200</x:v>
      </x:c>
      <x:c r="M46" s="31" t="n">
        <x:f>SUM(M30:M45)</x:f>
        <x:v>400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9" t="str">
        <x:v>Estimate assumptions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20" t="str">
        <x:v>Human hours exclude unattended Ralph runtime. Machine runtime is tracked separately and does not convert directly into labor hours.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20" t="str">
        <x:v>Ralph is assumed to implement, test, correct, document and checkpoint each implementation-ready feature with limited intervention.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20" t="str">
        <x:v>The working estimate is 788 human hours. The range reflects API behavior, source-data quality, client decision speed and UAT findings.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20" t="str">
        <x:v>The calendar plan assumes overlapping workstreams. A single local Qwen endpoint serializes heavy Ralph runs; multiple endpoints shorten elapsed time.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20" t="str">
        <x:v>R1 includes basic overtime behavior needed for billing. Advanced configurable overtime, progress billing, equipment integration and accrual reporting remain later releases.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20" t="str">
        <x:v>Estimating, CRM/opportunity management, Procore, full GL posting, full progress-billing workflow, licenses and ongoing support are excluded.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20" t="str">
        <x:v>Client employee time spent performing UAT is excluded. Delivery-team UAT preparation, support and accepted corrections are included.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20" t="str">
        <x:v>All yellow estimate cells are editable. Formula totals update automatically.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</x:sheetData>
  <x:pageMargins left="0.7" right="0.7" top="0.75" bottom="0.75" header="0.3" footer="0.3"/>
</x:worksheet>
</file>